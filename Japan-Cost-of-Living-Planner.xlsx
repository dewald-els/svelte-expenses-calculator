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ner" state="visible" r:id="rId4"/>
  </sheets>
  <calcPr calcId="171027"/>
</workbook>
</file>

<file path=xl/sharedStrings.xml><?xml version="1.0" encoding="utf-8"?>
<sst xmlns="http://schemas.openxmlformats.org/spreadsheetml/2006/main" count="150" uniqueCount="105">
  <si>
    <t>Japan Cost of Living Planner</t>
  </si>
  <si>
    <t>Edit the yellow cells. All other cells calculate automatically.</t>
  </si>
  <si>
    <t xml:space="preserve">  INCOME</t>
  </si>
  <si>
    <t xml:space="preserve">  MONTHLY SUMMARY</t>
  </si>
  <si>
    <t>Yearly gross income</t>
  </si>
  <si>
    <t>¥/yr</t>
  </si>
  <si>
    <t>Annual salary before tax</t>
  </si>
  <si>
    <t>Effective income</t>
  </si>
  <si>
    <t>People in household</t>
  </si>
  <si>
    <t/>
  </si>
  <si>
    <t>For daily allowance calc</t>
  </si>
  <si>
    <t>Base expenses</t>
  </si>
  <si>
    <t>Buffer</t>
  </si>
  <si>
    <t xml:space="preserve">  TAX ASSUMPTIONS</t>
  </si>
  <si>
    <t>Monthly spend</t>
  </si>
  <si>
    <t>Tax residency</t>
  </si>
  <si>
    <t>nonResident</t>
  </si>
  <si>
    <t>"resident" or "nonResident"</t>
  </si>
  <si>
    <t>Savings target</t>
  </si>
  <si>
    <t>First year in Japan</t>
  </si>
  <si>
    <t>TRUE</t>
  </si>
  <si>
    <t>TRUE = no inhabitant tax</t>
  </si>
  <si>
    <t>Total committed</t>
  </si>
  <si>
    <t>Social insurance rate</t>
  </si>
  <si>
    <t>~14.15%</t>
  </si>
  <si>
    <t>Remaining / gap</t>
  </si>
  <si>
    <t>Employment insurance rate</t>
  </si>
  <si>
    <t>~0.55%</t>
  </si>
  <si>
    <t>Income used</t>
  </si>
  <si>
    <t>Resident tax rate</t>
  </si>
  <si>
    <t>~10%</t>
  </si>
  <si>
    <t>Daily allowance (per person)</t>
  </si>
  <si>
    <t xml:space="preserve">  TAX CALCULATION (MONTHLY)</t>
  </si>
  <si>
    <t xml:space="preserve">  SAVINGS FORECAST</t>
  </si>
  <si>
    <t>Monthly gross income</t>
  </si>
  <si>
    <t>3 months</t>
  </si>
  <si>
    <t>Employment income deduction</t>
  </si>
  <si>
    <t>Resident only</t>
  </si>
  <si>
    <t>6 months</t>
  </si>
  <si>
    <t>Annual employment income</t>
  </si>
  <si>
    <t>1 year</t>
  </si>
  <si>
    <t>Annual taxable income</t>
  </si>
  <si>
    <t>After ¥480k deduction</t>
  </si>
  <si>
    <t>5 years</t>
  </si>
  <si>
    <t>Annual income tax (resident)</t>
  </si>
  <si>
    <t>Progressive brackets</t>
  </si>
  <si>
    <t>10 years</t>
  </si>
  <si>
    <t>Reconstruction surtax</t>
  </si>
  <si>
    <t>2.1%</t>
  </si>
  <si>
    <t>Monthly income tax (resident)</t>
  </si>
  <si>
    <t xml:space="preserve">  SPEND BREAKDOWN</t>
  </si>
  <si>
    <t>Monthly income tax (non-resident)</t>
  </si>
  <si>
    <t>Flat 20.42%</t>
  </si>
  <si>
    <t>Housing</t>
  </si>
  <si>
    <t>→ Applied income tax</t>
  </si>
  <si>
    <t>Food</t>
  </si>
  <si>
    <t>→ Resident tax</t>
  </si>
  <si>
    <t>Transport</t>
  </si>
  <si>
    <t>→ Social insurance</t>
  </si>
  <si>
    <t>Health</t>
  </si>
  <si>
    <t>→ Employment insurance</t>
  </si>
  <si>
    <t>Lifestyle</t>
  </si>
  <si>
    <t>Estimated monthly take-home</t>
  </si>
  <si>
    <t>Net pay after deductions</t>
  </si>
  <si>
    <t>Other + buffer</t>
  </si>
  <si>
    <t>Savings</t>
  </si>
  <si>
    <t xml:space="preserve">  MONTHLY EXPENSES — FIXED COSTS</t>
  </si>
  <si>
    <t>家  Rent</t>
  </si>
  <si>
    <t>¥/mo</t>
  </si>
  <si>
    <t>Apartment or share house</t>
  </si>
  <si>
    <t xml:space="preserve">  INCOME SPLIT</t>
  </si>
  <si>
    <t>光  Utilities</t>
  </si>
  <si>
    <t>Electricity, gas, water</t>
  </si>
  <si>
    <t>Fixed essentials</t>
  </si>
  <si>
    <t>網  Phone and internet</t>
  </si>
  <si>
    <t>Mobile + home connection</t>
  </si>
  <si>
    <t>Flexible lifestyle</t>
  </si>
  <si>
    <t>保  Insurance / medical</t>
  </si>
  <si>
    <t>Out-of-pocket allowance</t>
  </si>
  <si>
    <t>Safety buffer</t>
  </si>
  <si>
    <t xml:space="preserve">  MONTHLY EXPENSES — FLEXIBLE COSTS</t>
  </si>
  <si>
    <t>食  Groceries</t>
  </si>
  <si>
    <t>Food and household staples</t>
  </si>
  <si>
    <t>外  Dining and cafés</t>
  </si>
  <si>
    <t>Lunches and dinners out</t>
  </si>
  <si>
    <t xml:space="preserve">  PLANNING INSIGHT</t>
  </si>
  <si>
    <t>電  Transport</t>
  </si>
  <si>
    <t>Commuter pass and trips</t>
  </si>
  <si>
    <t>Change your income, expenses, or savings goal above to see how it affects your budget. All calculations update automatically.</t>
  </si>
  <si>
    <t>楽  Leisure</t>
  </si>
  <si>
    <t>Fitness, entertainment, hobbies</t>
  </si>
  <si>
    <t>衣  Shopping / personal</t>
  </si>
  <si>
    <t>Clothing, toiletries, extras</t>
  </si>
  <si>
    <t>他  Other commitments</t>
  </si>
  <si>
    <t>Subscriptions, debt, remittances</t>
  </si>
  <si>
    <t>Base expenses subtotal</t>
  </si>
  <si>
    <t xml:space="preserve">  SAVINGS &amp; BUFFER</t>
  </si>
  <si>
    <t>Savings goal</t>
  </si>
  <si>
    <t>% of take-home to save</t>
  </si>
  <si>
    <t>Target monthly savings</t>
  </si>
  <si>
    <t>Unexpected buffer</t>
  </si>
  <si>
    <t>% of base expenses</t>
  </si>
  <si>
    <t>Buffer amount</t>
  </si>
  <si>
    <t>Savings + buffer subtotal</t>
  </si>
  <si>
    <t>All figures are planning assumptions. Tax calculations use simplified rules for Japan and should be verified against official notices. Social insurance and employment insurance rates are approximate. Non-resident flat rate is 20.42% withholding. Resident calculations use progressive brackets, reconstruction surtax (2.1%), and resident tax at the configured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</si>
</sst>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¥&quot;#,##0"/>
    <numFmt numFmtId="165" formatCode="0.0%"/>
    <numFmt numFmtId="166" formatCode="&quot;¥&quot;#,##0;[Red]&quot;-¥&quot;#,##0"/>
  </numFmts>
  <fonts count="11" x14ac:knownFonts="1">
    <font>
      <color theme="1"/>
      <family val="2"/>
      <scheme val="minor"/>
      <sz val="11"/>
      <name val="Calibri"/>
    </font>
    <font>
      <b/>
      <color rgb="FF111827"/>
      <sz val="16"/>
    </font>
    <font>
      <i/>
      <color rgb="FF6B7280"/>
      <sz val="10"/>
    </font>
    <font>
      <b/>
      <color rgb="FF111827"/>
      <sz val="10"/>
    </font>
    <font>
      <b/>
      <color rgb="FF374151"/>
      <sz val="10"/>
    </font>
    <font>
      <color rgb="FF111827"/>
      <sz val="10"/>
    </font>
    <font>
      <color rgb="FF9CA3AF"/>
      <sz val="9"/>
    </font>
    <font>
      <i/>
      <color rgb="FF6B7280"/>
      <sz val="9"/>
    </font>
    <font>
      <color rgb="FF374151"/>
      <sz val="10"/>
    </font>
    <font>
      <b/>
      <color rgb="FFDC2626"/>
      <sz val="10"/>
    </font>
    <font>
      <color rgb="FFDC2626"/>
      <sz val="10"/>
    </font>
  </fonts>
  <fills count="6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3F4F6"/>
      </patternFill>
    </fill>
    <fill>
      <patternFill patternType="solid">
        <fgColor rgb="FFFFF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indent="1"/>
    </xf>
    <xf numFmtId="164" fontId="5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 indent="1"/>
    </xf>
    <xf numFmtId="164" fontId="3" fillId="5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 wrapText="1" indent="1"/>
    </xf>
    <xf numFmtId="164" fontId="3" fillId="2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3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vertical="center"/>
    </xf>
    <xf numFmtId="164" fontId="9" fillId="5" borderId="1" xfId="0" applyNumberFormat="1" applyFont="1" applyFill="1" applyBorder="1" applyAlignment="1">
      <alignment horizontal="right" vertical="center"/>
    </xf>
    <xf numFmtId="164" fontId="10" fillId="5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 indent="1"/>
    </xf>
    <xf numFmtId="0" fontId="6" fillId="2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workbookViewId="0" showGridLines="0">
      <pane ySplit="2" topLeftCell="A3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20" customWidth="1"/>
    <col min="3" max="3" width="7" customWidth="1"/>
    <col min="4" max="4" width="30" customWidth="1"/>
    <col min="5" max="5" width="3" customWidth="1"/>
    <col min="6" max="6" width="28" customWidth="1"/>
    <col min="7" max="7" width="18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0" customHeight="1" x14ac:dyDescent="0.25"/>
    <row r="4" ht="28" customHeight="1" spans="1:7" x14ac:dyDescent="0.25">
      <c r="A4" s="3" t="s">
        <v>2</v>
      </c>
      <c r="B4" s="3"/>
      <c r="C4" s="3"/>
      <c r="D4" s="3"/>
      <c r="F4" s="3" t="s">
        <v>3</v>
      </c>
      <c r="G4" s="3"/>
    </row>
    <row r="5" ht="22" customHeight="1" spans="1:7" x14ac:dyDescent="0.25">
      <c r="A5" s="4" t="s">
        <v>4</v>
      </c>
      <c r="B5" s="5">
        <v>5500000</v>
      </c>
      <c r="C5" s="6" t="s">
        <v>5</v>
      </c>
      <c r="D5" s="7" t="s">
        <v>6</v>
      </c>
      <c r="F5" s="8" t="s">
        <v>7</v>
      </c>
      <c r="G5" s="9">
        <f>B28</f>
      </c>
    </row>
    <row r="6" ht="22" customHeight="1" spans="1:7" x14ac:dyDescent="0.25">
      <c r="A6" s="4" t="s">
        <v>8</v>
      </c>
      <c r="B6" s="10">
        <v>1</v>
      </c>
      <c r="C6" s="6" t="s">
        <v>9</v>
      </c>
      <c r="D6" s="7" t="s">
        <v>10</v>
      </c>
      <c r="F6" s="8" t="s">
        <v>11</v>
      </c>
      <c r="G6" s="11">
        <f>B42</f>
      </c>
    </row>
    <row r="7" ht="10" customHeight="1" spans="6:7" x14ac:dyDescent="0.25">
      <c r="F7" s="8" t="s">
        <v>12</v>
      </c>
      <c r="G7" s="11">
        <f>B48</f>
      </c>
    </row>
    <row r="8" ht="28" customHeight="1" spans="1:7" x14ac:dyDescent="0.25">
      <c r="A8" s="3" t="s">
        <v>13</v>
      </c>
      <c r="B8" s="3"/>
      <c r="C8" s="3"/>
      <c r="D8" s="3"/>
      <c r="F8" s="8" t="s">
        <v>14</v>
      </c>
      <c r="G8" s="11">
        <f>G6+G7</f>
      </c>
    </row>
    <row r="9" ht="22" customHeight="1" spans="1:7" x14ac:dyDescent="0.25">
      <c r="A9" s="4" t="s">
        <v>15</v>
      </c>
      <c r="B9" s="10" t="s">
        <v>16</v>
      </c>
      <c r="C9" s="6" t="s">
        <v>9</v>
      </c>
      <c r="D9" s="7" t="s">
        <v>17</v>
      </c>
      <c r="F9" s="8" t="s">
        <v>18</v>
      </c>
      <c r="G9" s="11">
        <f>B46</f>
      </c>
    </row>
    <row r="10" ht="22" customHeight="1" spans="1:7" x14ac:dyDescent="0.25">
      <c r="A10" s="4" t="s">
        <v>19</v>
      </c>
      <c r="B10" s="10" t="s">
        <v>20</v>
      </c>
      <c r="C10" s="6" t="s">
        <v>9</v>
      </c>
      <c r="D10" s="7" t="s">
        <v>21</v>
      </c>
      <c r="F10" s="12" t="s">
        <v>22</v>
      </c>
      <c r="G10" s="13">
        <f>G8+G9</f>
      </c>
    </row>
    <row r="11" ht="22" customHeight="1" spans="1:7" x14ac:dyDescent="0.25">
      <c r="A11" s="4" t="s">
        <v>23</v>
      </c>
      <c r="B11" s="14">
        <v>0.1415</v>
      </c>
      <c r="C11" s="6" t="s">
        <v>9</v>
      </c>
      <c r="D11" s="7" t="s">
        <v>24</v>
      </c>
      <c r="F11" s="8" t="s">
        <v>25</v>
      </c>
      <c r="G11" s="15">
        <f>G5-G10</f>
      </c>
    </row>
    <row r="12" ht="22" customHeight="1" spans="1:7" x14ac:dyDescent="0.25">
      <c r="A12" s="4" t="s">
        <v>26</v>
      </c>
      <c r="B12" s="14">
        <v>0.0055</v>
      </c>
      <c r="C12" s="6" t="s">
        <v>9</v>
      </c>
      <c r="D12" s="7" t="s">
        <v>27</v>
      </c>
      <c r="F12" s="8" t="s">
        <v>28</v>
      </c>
      <c r="G12" s="16">
        <f>IF(G5=0,0,G10/G5)</f>
      </c>
    </row>
    <row r="13" ht="22" customHeight="1" spans="1:7" x14ac:dyDescent="0.25">
      <c r="A13" s="4" t="s">
        <v>29</v>
      </c>
      <c r="B13" s="14">
        <v>0.1</v>
      </c>
      <c r="C13" s="6" t="s">
        <v>9</v>
      </c>
      <c r="D13" s="7" t="s">
        <v>30</v>
      </c>
      <c r="F13" s="8" t="s">
        <v>31</v>
      </c>
      <c r="G13" s="11">
        <f>SUM(B36:B41)/(30*B6)</f>
      </c>
    </row>
    <row r="14" ht="10" customHeight="1" x14ac:dyDescent="0.25"/>
    <row r="15" ht="28" customHeight="1" spans="1:7" x14ac:dyDescent="0.25">
      <c r="A15" s="3" t="s">
        <v>32</v>
      </c>
      <c r="B15" s="3"/>
      <c r="C15" s="3"/>
      <c r="D15" s="3"/>
      <c r="F15" s="3" t="s">
        <v>33</v>
      </c>
      <c r="G15" s="3"/>
    </row>
    <row r="16" ht="22" customHeight="1" spans="1:7" x14ac:dyDescent="0.25">
      <c r="A16" s="4" t="s">
        <v>34</v>
      </c>
      <c r="B16" s="11">
        <f>B5/12</f>
      </c>
      <c r="C16" s="17" t="s">
        <v>9</v>
      </c>
      <c r="D16" s="7" t="s">
        <v>9</v>
      </c>
      <c r="F16" s="8" t="s">
        <v>35</v>
      </c>
      <c r="G16" s="11">
        <f>B46*3</f>
      </c>
    </row>
    <row r="17" ht="22" customHeight="1" spans="1:7" x14ac:dyDescent="0.25">
      <c r="A17" s="4" t="s">
        <v>36</v>
      </c>
      <c r="B17" s="11">
        <f>IF(B5&lt;=1625000,550000,IF(B5&lt;=1800000,B5*0.4-100000,IF(B5&lt;=3600000,B5*0.3+80000,IF(B5&lt;=6600000,B5*0.2+440000,IF(B5&lt;=8500000,B5*0.1+1100000,1950000)))))</f>
      </c>
      <c r="C17" s="17" t="s">
        <v>5</v>
      </c>
      <c r="D17" s="7" t="s">
        <v>37</v>
      </c>
      <c r="F17" s="8" t="s">
        <v>38</v>
      </c>
      <c r="G17" s="11">
        <f>B46*6</f>
      </c>
    </row>
    <row r="18" ht="22" customHeight="1" spans="1:7" x14ac:dyDescent="0.25">
      <c r="A18" s="4" t="s">
        <v>39</v>
      </c>
      <c r="B18" s="11">
        <f>B5-B17</f>
      </c>
      <c r="C18" s="17" t="s">
        <v>5</v>
      </c>
      <c r="D18" s="7" t="s">
        <v>9</v>
      </c>
      <c r="F18" s="8" t="s">
        <v>40</v>
      </c>
      <c r="G18" s="11">
        <f>B46*12</f>
      </c>
    </row>
    <row r="19" ht="22" customHeight="1" spans="1:7" x14ac:dyDescent="0.25">
      <c r="A19" s="4" t="s">
        <v>41</v>
      </c>
      <c r="B19" s="11">
        <f>MAX(0,B18-480000)</f>
      </c>
      <c r="C19" s="17" t="s">
        <v>5</v>
      </c>
      <c r="D19" s="7" t="s">
        <v>42</v>
      </c>
      <c r="F19" s="8" t="s">
        <v>43</v>
      </c>
      <c r="G19" s="11">
        <f>B46*60</f>
      </c>
    </row>
    <row r="20" ht="22" customHeight="1" spans="1:7" x14ac:dyDescent="0.25">
      <c r="A20" s="4" t="s">
        <v>44</v>
      </c>
      <c r="B20" s="11">
        <f>IF(B19&lt;=1950000,B19*0.05,IF(B19&lt;=3300000,B19*0.1-97500,IF(B19&lt;=6950000,B19*0.2-427500,IF(B19&lt;=9000000,B19*0.23-636000,IF(B19&lt;=18000000,B19*0.33-1536000,IF(B19&lt;=40000000,B19*0.4-2796000,B19*0.45-4796000))))))</f>
      </c>
      <c r="C20" s="17" t="s">
        <v>5</v>
      </c>
      <c r="D20" s="7" t="s">
        <v>45</v>
      </c>
      <c r="F20" s="8" t="s">
        <v>46</v>
      </c>
      <c r="G20" s="11">
        <f>B46*120</f>
      </c>
    </row>
    <row r="21" ht="22" customHeight="1" spans="1:4" x14ac:dyDescent="0.25">
      <c r="A21" s="4" t="s">
        <v>47</v>
      </c>
      <c r="B21" s="11">
        <f>B20*0.021</f>
      </c>
      <c r="C21" s="17" t="s">
        <v>5</v>
      </c>
      <c r="D21" s="7" t="s">
        <v>48</v>
      </c>
    </row>
    <row r="22" ht="22" customHeight="1" spans="1:7" x14ac:dyDescent="0.25">
      <c r="A22" s="4" t="s">
        <v>49</v>
      </c>
      <c r="B22" s="11">
        <f>(B20+B21)/12</f>
      </c>
      <c r="C22" s="17" t="s">
        <v>9</v>
      </c>
      <c r="D22" s="7" t="s">
        <v>9</v>
      </c>
      <c r="F22" s="3" t="s">
        <v>50</v>
      </c>
      <c r="G22" s="3"/>
    </row>
    <row r="23" ht="22" customHeight="1" spans="1:7" x14ac:dyDescent="0.25">
      <c r="A23" s="4" t="s">
        <v>51</v>
      </c>
      <c r="B23" s="11">
        <f>B16*0.2042</f>
      </c>
      <c r="C23" s="17" t="s">
        <v>9</v>
      </c>
      <c r="D23" s="7" t="s">
        <v>52</v>
      </c>
      <c r="F23" s="8" t="s">
        <v>53</v>
      </c>
      <c r="G23" s="11">
        <f>B31+B32+B33</f>
      </c>
    </row>
    <row r="24" ht="22" customHeight="1" spans="1:7" x14ac:dyDescent="0.25">
      <c r="A24" s="4" t="s">
        <v>54</v>
      </c>
      <c r="B24" s="18">
        <f>IF(B9="nonResident",B23,B22)</f>
      </c>
      <c r="C24" s="17" t="s">
        <v>9</v>
      </c>
      <c r="D24" s="7" t="s">
        <v>9</v>
      </c>
      <c r="F24" s="8" t="s">
        <v>55</v>
      </c>
      <c r="G24" s="11">
        <f>B36+B37</f>
      </c>
    </row>
    <row r="25" ht="22" customHeight="1" spans="1:7" x14ac:dyDescent="0.25">
      <c r="A25" s="4" t="s">
        <v>56</v>
      </c>
      <c r="B25" s="19">
        <f>IF(OR(B9="nonResident",B10=TRUE),0,B19*B13/12)</f>
      </c>
      <c r="C25" s="17" t="s">
        <v>9</v>
      </c>
      <c r="D25" s="7" t="s">
        <v>9</v>
      </c>
      <c r="F25" s="8" t="s">
        <v>57</v>
      </c>
      <c r="G25" s="11">
        <f>B38</f>
      </c>
    </row>
    <row r="26" ht="22" customHeight="1" spans="1:7" x14ac:dyDescent="0.25">
      <c r="A26" s="4" t="s">
        <v>58</v>
      </c>
      <c r="B26" s="19">
        <f>B16*B11</f>
      </c>
      <c r="C26" s="17" t="s">
        <v>9</v>
      </c>
      <c r="D26" s="7" t="s">
        <v>9</v>
      </c>
      <c r="F26" s="8" t="s">
        <v>59</v>
      </c>
      <c r="G26" s="11">
        <f>B34</f>
      </c>
    </row>
    <row r="27" ht="22" customHeight="1" spans="1:7" x14ac:dyDescent="0.25">
      <c r="A27" s="4" t="s">
        <v>60</v>
      </c>
      <c r="B27" s="19">
        <f>B16*B12</f>
      </c>
      <c r="C27" s="17" t="s">
        <v>9</v>
      </c>
      <c r="D27" s="7" t="s">
        <v>9</v>
      </c>
      <c r="F27" s="8" t="s">
        <v>61</v>
      </c>
      <c r="G27" s="11">
        <f>B39+B40</f>
      </c>
    </row>
    <row r="28" ht="22" customHeight="1" spans="1:7" x14ac:dyDescent="0.25">
      <c r="A28" s="20" t="s">
        <v>62</v>
      </c>
      <c r="B28" s="13">
        <f>B16-B24-B25-B26-B27</f>
      </c>
      <c r="C28" s="21" t="s">
        <v>9</v>
      </c>
      <c r="D28" s="7" t="s">
        <v>63</v>
      </c>
      <c r="F28" s="8" t="s">
        <v>64</v>
      </c>
      <c r="G28" s="11">
        <f>B41+B48</f>
      </c>
    </row>
    <row r="29" ht="10" customHeight="1" spans="6:7" x14ac:dyDescent="0.25">
      <c r="F29" s="8" t="s">
        <v>65</v>
      </c>
      <c r="G29" s="11">
        <f>B46</f>
      </c>
    </row>
    <row r="30" ht="28" customHeight="1" spans="1:4" x14ac:dyDescent="0.25">
      <c r="A30" s="3" t="s">
        <v>66</v>
      </c>
      <c r="B30" s="3"/>
      <c r="C30" s="3"/>
      <c r="D30" s="3"/>
    </row>
    <row r="31" ht="22" customHeight="1" spans="1:7" x14ac:dyDescent="0.25">
      <c r="A31" s="4" t="s">
        <v>67</v>
      </c>
      <c r="B31" s="5">
        <v>80000</v>
      </c>
      <c r="C31" s="6" t="s">
        <v>68</v>
      </c>
      <c r="D31" s="7" t="s">
        <v>69</v>
      </c>
      <c r="F31" s="3" t="s">
        <v>70</v>
      </c>
      <c r="G31" s="3"/>
    </row>
    <row r="32" ht="22" customHeight="1" spans="1:7" x14ac:dyDescent="0.25">
      <c r="A32" s="4" t="s">
        <v>71</v>
      </c>
      <c r="B32" s="5">
        <v>11000</v>
      </c>
      <c r="C32" s="6" t="s">
        <v>68</v>
      </c>
      <c r="D32" s="7" t="s">
        <v>72</v>
      </c>
      <c r="F32" s="8" t="s">
        <v>73</v>
      </c>
      <c r="G32" s="11">
        <f>B31+B32+B33+B34</f>
      </c>
    </row>
    <row r="33" ht="22" customHeight="1" spans="1:7" x14ac:dyDescent="0.25">
      <c r="A33" s="4" t="s">
        <v>74</v>
      </c>
      <c r="B33" s="5">
        <v>7000</v>
      </c>
      <c r="C33" s="6" t="s">
        <v>68</v>
      </c>
      <c r="D33" s="7" t="s">
        <v>75</v>
      </c>
      <c r="F33" s="8" t="s">
        <v>76</v>
      </c>
      <c r="G33" s="11">
        <f>B36+B37+B38+B39+B40+B41</f>
      </c>
    </row>
    <row r="34" ht="22" customHeight="1" spans="1:7" x14ac:dyDescent="0.25">
      <c r="A34" s="4" t="s">
        <v>77</v>
      </c>
      <c r="B34" s="5">
        <v>5000</v>
      </c>
      <c r="C34" s="6" t="s">
        <v>68</v>
      </c>
      <c r="D34" s="7" t="s">
        <v>78</v>
      </c>
      <c r="F34" s="8" t="s">
        <v>79</v>
      </c>
      <c r="G34" s="11">
        <f>B48</f>
      </c>
    </row>
    <row r="35" ht="28" customHeight="1" spans="1:7" x14ac:dyDescent="0.25">
      <c r="A35" s="3" t="s">
        <v>80</v>
      </c>
      <c r="B35" s="3"/>
      <c r="C35" s="3"/>
      <c r="D35" s="3"/>
      <c r="F35" s="8" t="s">
        <v>65</v>
      </c>
      <c r="G35" s="11">
        <f>B46</f>
      </c>
    </row>
    <row r="36" ht="22" customHeight="1" spans="1:4" x14ac:dyDescent="0.25">
      <c r="A36" s="4" t="s">
        <v>81</v>
      </c>
      <c r="B36" s="5">
        <v>35000</v>
      </c>
      <c r="C36" s="6" t="s">
        <v>68</v>
      </c>
      <c r="D36" s="7" t="s">
        <v>82</v>
      </c>
    </row>
    <row r="37" ht="22" customHeight="1" spans="1:7" x14ac:dyDescent="0.25">
      <c r="A37" s="4" t="s">
        <v>83</v>
      </c>
      <c r="B37" s="5">
        <v>20000</v>
      </c>
      <c r="C37" s="6" t="s">
        <v>68</v>
      </c>
      <c r="D37" s="7" t="s">
        <v>84</v>
      </c>
      <c r="F37" s="3" t="s">
        <v>85</v>
      </c>
      <c r="G37" s="3"/>
    </row>
    <row r="38" ht="22" customHeight="1" spans="1:7" x14ac:dyDescent="0.25">
      <c r="A38" s="4" t="s">
        <v>86</v>
      </c>
      <c r="B38" s="5">
        <v>12000</v>
      </c>
      <c r="C38" s="6" t="s">
        <v>68</v>
      </c>
      <c r="D38" s="7" t="s">
        <v>87</v>
      </c>
      <c r="F38" s="22" t="s">
        <v>88</v>
      </c>
      <c r="G38" s="22"/>
    </row>
    <row r="39" ht="22" customHeight="1" spans="1:7" x14ac:dyDescent="0.25">
      <c r="A39" s="4" t="s">
        <v>89</v>
      </c>
      <c r="B39" s="5">
        <v>15000</v>
      </c>
      <c r="C39" s="6" t="s">
        <v>68</v>
      </c>
      <c r="D39" s="7" t="s">
        <v>90</v>
      </c>
      <c r="F39" s="22"/>
      <c r="G39" s="22"/>
    </row>
    <row r="40" ht="22" customHeight="1" spans="1:7" x14ac:dyDescent="0.25">
      <c r="A40" s="4" t="s">
        <v>91</v>
      </c>
      <c r="B40" s="5">
        <v>10000</v>
      </c>
      <c r="C40" s="6" t="s">
        <v>68</v>
      </c>
      <c r="D40" s="7" t="s">
        <v>92</v>
      </c>
      <c r="F40" s="22"/>
      <c r="G40" s="22"/>
    </row>
    <row r="41" ht="22" customHeight="1" spans="1:4" x14ac:dyDescent="0.25">
      <c r="A41" s="4" t="s">
        <v>93</v>
      </c>
      <c r="B41" s="5">
        <v>5000</v>
      </c>
      <c r="C41" s="6" t="s">
        <v>68</v>
      </c>
      <c r="D41" s="7" t="s">
        <v>94</v>
      </c>
    </row>
    <row r="42" ht="22" customHeight="1" spans="1:4" x14ac:dyDescent="0.25">
      <c r="A42" s="20" t="s">
        <v>95</v>
      </c>
      <c r="B42" s="13">
        <f>SUM(B31:B41)</f>
      </c>
      <c r="C42" s="21" t="s">
        <v>9</v>
      </c>
      <c r="D42" s="7" t="s">
        <v>9</v>
      </c>
    </row>
    <row r="43" ht="10" customHeight="1" x14ac:dyDescent="0.25"/>
    <row r="44" ht="28" customHeight="1" spans="1:4" x14ac:dyDescent="0.25">
      <c r="A44" s="3" t="s">
        <v>96</v>
      </c>
      <c r="B44" s="3"/>
      <c r="C44" s="3"/>
      <c r="D44" s="3"/>
    </row>
    <row r="45" ht="22" customHeight="1" spans="1:4" x14ac:dyDescent="0.25">
      <c r="A45" s="4" t="s">
        <v>97</v>
      </c>
      <c r="B45" s="14">
        <v>0.25</v>
      </c>
      <c r="C45" s="6" t="s">
        <v>9</v>
      </c>
      <c r="D45" s="7" t="s">
        <v>98</v>
      </c>
    </row>
    <row r="46" ht="22" customHeight="1" spans="1:4" x14ac:dyDescent="0.25">
      <c r="A46" s="4" t="s">
        <v>99</v>
      </c>
      <c r="B46" s="9">
        <f>B28*B45</f>
      </c>
      <c r="C46" s="17" t="s">
        <v>9</v>
      </c>
      <c r="D46" s="7" t="s">
        <v>9</v>
      </c>
    </row>
    <row r="47" ht="22" customHeight="1" spans="1:4" x14ac:dyDescent="0.25">
      <c r="A47" s="4" t="s">
        <v>100</v>
      </c>
      <c r="B47" s="14">
        <v>0.05</v>
      </c>
      <c r="C47" s="6" t="s">
        <v>9</v>
      </c>
      <c r="D47" s="7" t="s">
        <v>101</v>
      </c>
    </row>
    <row r="48" ht="22" customHeight="1" spans="1:4" x14ac:dyDescent="0.25">
      <c r="A48" s="4" t="s">
        <v>102</v>
      </c>
      <c r="B48" s="11">
        <f>B42*B47</f>
      </c>
      <c r="C48" s="17" t="s">
        <v>9</v>
      </c>
      <c r="D48" s="7" t="s">
        <v>9</v>
      </c>
    </row>
    <row r="49" ht="22" customHeight="1" spans="1:4" x14ac:dyDescent="0.25">
      <c r="A49" s="20" t="s">
        <v>103</v>
      </c>
      <c r="B49" s="13">
        <f>B46+B48</f>
      </c>
      <c r="C49" s="21" t="s">
        <v>9</v>
      </c>
      <c r="D49" s="7" t="s">
        <v>9</v>
      </c>
    </row>
    <row r="51" ht="30" customHeight="1" spans="1:7" x14ac:dyDescent="0.25">
      <c r="A51" s="23" t="s">
        <v>104</v>
      </c>
      <c r="B51" s="23"/>
      <c r="C51" s="23"/>
      <c r="D51" s="23"/>
      <c r="E51" s="23"/>
      <c r="F51" s="23"/>
      <c r="G51" s="23"/>
    </row>
    <row r="52" ht="30" customHeight="1" spans="1:7" x14ac:dyDescent="0.25">
      <c r="A52" s="23"/>
      <c r="B52" s="23"/>
      <c r="C52" s="23"/>
      <c r="D52" s="23"/>
      <c r="E52" s="23"/>
      <c r="F52" s="23"/>
      <c r="G52" s="23"/>
    </row>
  </sheetData>
  <mergeCells count="15">
    <mergeCell ref="A1:G1"/>
    <mergeCell ref="A2:G2"/>
    <mergeCell ref="A4:D4"/>
    <mergeCell ref="F4:G4"/>
    <mergeCell ref="A8:D8"/>
    <mergeCell ref="A15:D15"/>
    <mergeCell ref="F15:G15"/>
    <mergeCell ref="F22:G22"/>
    <mergeCell ref="A30:D30"/>
    <mergeCell ref="F31:G31"/>
    <mergeCell ref="A35:D35"/>
    <mergeCell ref="F37:G37"/>
    <mergeCell ref="F38:G40"/>
    <mergeCell ref="A44:D44"/>
    <mergeCell ref="A51:G52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Japan Cost of Living Planner</dc:creator>
  <dc:title/>
  <dc:subject/>
  <dc:description/>
  <cp:keywords/>
  <cp:category/>
  <cp:lastModifiedBy>Unknown</cp:lastModifiedBy>
  <dcterms:created xsi:type="dcterms:W3CDTF">2026-07-24T20:43:44Z</dcterms:created>
  <dcterms:modified xsi:type="dcterms:W3CDTF">2026-07-24T20:43:44Z</dcterms:modified>
</cp:coreProperties>
</file>